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80" windowWidth="28760" windowHeight="12600"/>
  </bookViews>
  <sheets>
    <sheet name="Vicki" sheetId="2" r:id="rId1"/>
    <sheet name="Dennis" sheetId="1" r:id="rId2"/>
    <sheet name="Cheryl" sheetId="3" r:id="rId3"/>
    <sheet name="Combined" sheetId="4" r:id="rId4"/>
    <sheet name="Expenses" sheetId="5" r:id="rId5"/>
  </sheets>
  <calcPr calcId="125725"/>
</workbook>
</file>

<file path=xl/calcChain.xml><?xml version="1.0" encoding="utf-8"?>
<calcChain xmlns="http://schemas.openxmlformats.org/spreadsheetml/2006/main">
  <c r="F33" i="1"/>
  <c r="F35" s="1"/>
  <c r="G17" i="3"/>
  <c r="F17"/>
  <c r="F20" s="1"/>
  <c r="F17" i="2"/>
  <c r="F19" s="1"/>
</calcChain>
</file>

<file path=xl/sharedStrings.xml><?xml version="1.0" encoding="utf-8"?>
<sst xmlns="http://schemas.openxmlformats.org/spreadsheetml/2006/main" count="294" uniqueCount="90">
  <si>
    <t>Dennis</t>
  </si>
  <si>
    <t>Amount</t>
  </si>
  <si>
    <t>Donors Choose</t>
  </si>
  <si>
    <t>13-4129457</t>
  </si>
  <si>
    <t>EIN Number</t>
  </si>
  <si>
    <t>Date</t>
  </si>
  <si>
    <t>CUES</t>
  </si>
  <si>
    <t>Vicki</t>
  </si>
  <si>
    <t>Cheryl</t>
  </si>
  <si>
    <t>47-0818922</t>
  </si>
  <si>
    <t>DEBIT</t>
  </si>
  <si>
    <t>REMAINING</t>
  </si>
  <si>
    <t>ALL</t>
  </si>
  <si>
    <t>Fees</t>
  </si>
  <si>
    <t>Address</t>
  </si>
  <si>
    <t>Relationship</t>
  </si>
  <si>
    <t>Purpose</t>
  </si>
  <si>
    <t>134 West 37 St, 11th Floor, New York, NY 10018</t>
  </si>
  <si>
    <t>DonorsChoose is an online charity on a mission to make it easy for anyone to help a classroom in need by allowing people to donate directly to classrooms.</t>
  </si>
  <si>
    <t>None</t>
  </si>
  <si>
    <t>To assist with mission to educate, support &amp; empower Omaha children</t>
  </si>
  <si>
    <t>All Saints Episcopal Church</t>
  </si>
  <si>
    <t>155 Clark Street; Enterprise, FL 32725</t>
  </si>
  <si>
    <t>59-2231664</t>
  </si>
  <si>
    <t>Diocese of Central Florida</t>
  </si>
  <si>
    <t>1017 E Robinson Street, Orlando, FL 32801</t>
  </si>
  <si>
    <t>Disaster Relief Fund</t>
  </si>
  <si>
    <t>59-6168979</t>
  </si>
  <si>
    <t>TOTAL 2025</t>
  </si>
  <si>
    <t>Samaritan's Purse</t>
  </si>
  <si>
    <t>P.O. Box 3000, Boone, NC 28607</t>
  </si>
  <si>
    <t>58-1437002</t>
  </si>
  <si>
    <t xml:space="preserve">GoFundMe </t>
  </si>
  <si>
    <t>81-2279757</t>
  </si>
  <si>
    <t>8605 Santa Monica Blvd, #88639, West Hollywood, cA 90069</t>
  </si>
  <si>
    <t xml:space="preserve">Donation to the Loving Memory Brandon Ward Scholarship </t>
  </si>
  <si>
    <t>Anclote Elementary School</t>
  </si>
  <si>
    <t>3610 Madison St, New Port Richey, FL 34652</t>
  </si>
  <si>
    <t>25900 US-27; Leesburg, FL 34748</t>
  </si>
  <si>
    <t>First Baptist Church</t>
  </si>
  <si>
    <t>Assist with mission One Fund, helping area charities</t>
  </si>
  <si>
    <t>59-0637837</t>
  </si>
  <si>
    <t>The Neighborhood Center of South Lake</t>
  </si>
  <si>
    <t>14727 Timber Village Rd, Groveland, FL 34736</t>
  </si>
  <si>
    <t>Assist in mission to provide anyone in need with the necessary resources to improve lives.</t>
  </si>
  <si>
    <t>59-3112851</t>
  </si>
  <si>
    <t>Ck 106</t>
  </si>
  <si>
    <t>2207 Wirt Street; Omaha, NE 68110</t>
  </si>
  <si>
    <t>$20,000 to be allocated to Caring Fund, $5,000 allocated to Kylie Moore's landscaping services.</t>
  </si>
  <si>
    <t>Ck 107</t>
  </si>
  <si>
    <t>Business Renewal</t>
  </si>
  <si>
    <t>Payment to Division of Corporations</t>
  </si>
  <si>
    <t>Mercy Ships</t>
  </si>
  <si>
    <t>26-2414132</t>
  </si>
  <si>
    <t>15862 Hwy 110 N, Lindale, TX 75771</t>
  </si>
  <si>
    <t>Support mission of providing medical care to Sub Saharan Africa to underpriveldged children</t>
  </si>
  <si>
    <t>Orlando Union Rescue Mission</t>
  </si>
  <si>
    <t>1521 W. Washington St; Orlando, FL 32805</t>
  </si>
  <si>
    <t>Assist mission to help homeless seeking hope and stability</t>
  </si>
  <si>
    <t>59-1035082</t>
  </si>
  <si>
    <t>Leonard J. King</t>
  </si>
  <si>
    <t>668 Carrigan Woods Trail; Oviedo, FL 32765</t>
  </si>
  <si>
    <t>Pay bills from cancer care at Moffitt Cancer Center.  AccessOne. Was the credit service holding the charges.</t>
  </si>
  <si>
    <t>Postage to send Mercy Ships book to Vicki</t>
  </si>
  <si>
    <t>USPS Postage</t>
  </si>
  <si>
    <t>Purchase custom floor mat for school entrance</t>
  </si>
  <si>
    <t>Assist with mission for Venezualen Earthquake relief</t>
  </si>
  <si>
    <t>Ck 108</t>
  </si>
  <si>
    <t>Ck 109</t>
  </si>
  <si>
    <t>New Beginnings</t>
  </si>
  <si>
    <t>415 Citrus Tower Blvd., Clermont, FL 34711</t>
  </si>
  <si>
    <t>Assist in mission of a faith-based non for profit ministry.</t>
  </si>
  <si>
    <t>26-3536979</t>
  </si>
  <si>
    <t>Habitat for Humanity</t>
  </si>
  <si>
    <t>322 West Lamar Street, Americus, GA 31709</t>
  </si>
  <si>
    <t>Assist with the building of new homes for underprivileged</t>
  </si>
  <si>
    <t>91-1914868</t>
  </si>
  <si>
    <t>Ck 110</t>
  </si>
  <si>
    <t>Ck 111</t>
  </si>
  <si>
    <t>First Baptist Church of Clermont, Inc</t>
  </si>
  <si>
    <t>2751 Hartwood Marsh Rd, Clermont, FL 34711</t>
  </si>
  <si>
    <t>59-0774189</t>
  </si>
  <si>
    <t>Ck 112</t>
  </si>
  <si>
    <t>Church caring fund to pay for office rug, chair mat, and outdoor landscaping by the office</t>
  </si>
  <si>
    <t>Ck 113</t>
  </si>
  <si>
    <t>Help with Vision to Victory campaign contributing to building fund and future ministry plans</t>
  </si>
  <si>
    <t>Ronald McDonald House Charities, Inc.</t>
  </si>
  <si>
    <t>36-2934689</t>
  </si>
  <si>
    <t>St., Chiciago, IL 60607</t>
  </si>
  <si>
    <t>Support Charity Mission to support families get access to medical care and resources they need.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</si>
</sst>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>
      <selection activeCell="E9" sqref="E9"/>
    </sheetView>
  </sheetViews>
  <sheetFormatPr defaultRowHeight="14.5"/>
  <cols>
    <col min="1" max="1" width="25.7265625" bestFit="1" customWidth="1"/>
    <col min="2" max="2" width="10.7265625" bestFit="1" customWidth="1"/>
    <col min="3" max="4" width="10.7265625" customWidth="1"/>
    <col min="5" max="5" width="35.26953125" customWidth="1"/>
    <col min="6" max="6" width="10.1796875" bestFit="1" customWidth="1"/>
    <col min="12" max="12" width="40.1796875" bestFit="1" customWidth="1"/>
  </cols>
  <sheetData>
    <row r="1" spans="1:10" s="2" customFormat="1">
      <c r="A1" s="2" t="s">
        <v>7</v>
      </c>
      <c r="B1" s="2" t="s">
        <v>5</v>
      </c>
      <c r="C1" s="2" t="s">
        <v>14</v>
      </c>
      <c r="D1" s="2" t="s">
        <v>15</v>
      </c>
      <c r="E1" s="2" t="s">
        <v>16</v>
      </c>
      <c r="F1" s="3" t="s">
        <v>1</v>
      </c>
      <c r="H1" s="2" t="s">
        <v>4</v>
      </c>
    </row>
    <row r="2" spans="1:10">
      <c r="A2" t="s">
        <v>29</v>
      </c>
      <c r="B2" s="1">
        <v>46214</v>
      </c>
      <c r="C2" s="1" t="s">
        <v>30</v>
      </c>
      <c r="D2" t="s">
        <v>19</v>
      </c>
      <c r="E2" s="1" t="s">
        <v>66</v>
      </c>
      <c r="F2" s="4">
        <v>5000</v>
      </c>
      <c r="H2" t="s">
        <v>31</v>
      </c>
      <c r="J2" t="s">
        <v>67</v>
      </c>
    </row>
    <row r="3" spans="1:10">
      <c r="A3" t="s">
        <v>39</v>
      </c>
      <c r="B3" s="1">
        <v>45920</v>
      </c>
      <c r="C3" s="1" t="s">
        <v>38</v>
      </c>
      <c r="D3" s="1"/>
      <c r="E3" s="1" t="s">
        <v>40</v>
      </c>
      <c r="F3" s="4"/>
      <c r="H3" s="6" t="s">
        <v>41</v>
      </c>
    </row>
    <row r="4" spans="1:10">
      <c r="A4" t="s">
        <v>42</v>
      </c>
      <c r="B4" s="1">
        <v>46214</v>
      </c>
      <c r="C4" s="1" t="s">
        <v>43</v>
      </c>
      <c r="D4" t="s">
        <v>19</v>
      </c>
      <c r="E4" s="1" t="s">
        <v>44</v>
      </c>
      <c r="F4" s="4">
        <v>5000</v>
      </c>
      <c r="H4" t="s">
        <v>45</v>
      </c>
      <c r="J4" t="s">
        <v>78</v>
      </c>
    </row>
    <row r="5" spans="1:10">
      <c r="A5" t="s">
        <v>52</v>
      </c>
      <c r="B5" s="1">
        <v>46113</v>
      </c>
      <c r="C5" s="1" t="s">
        <v>54</v>
      </c>
      <c r="D5" s="1" t="s">
        <v>19</v>
      </c>
      <c r="E5" s="1" t="s">
        <v>55</v>
      </c>
      <c r="F5" s="4">
        <v>5000</v>
      </c>
      <c r="H5" t="s">
        <v>53</v>
      </c>
      <c r="J5" t="s">
        <v>10</v>
      </c>
    </row>
    <row r="6" spans="1:10">
      <c r="A6" t="s">
        <v>56</v>
      </c>
      <c r="B6" s="1">
        <v>46115</v>
      </c>
      <c r="C6" s="1" t="s">
        <v>57</v>
      </c>
      <c r="D6" s="1" t="s">
        <v>19</v>
      </c>
      <c r="E6" s="1" t="s">
        <v>58</v>
      </c>
      <c r="F6" s="4">
        <v>1000</v>
      </c>
      <c r="H6" s="1" t="s">
        <v>59</v>
      </c>
      <c r="J6" t="s">
        <v>10</v>
      </c>
    </row>
    <row r="7" spans="1:10">
      <c r="A7" t="s">
        <v>69</v>
      </c>
      <c r="B7" s="1">
        <v>46214</v>
      </c>
      <c r="C7" s="1" t="s">
        <v>70</v>
      </c>
      <c r="D7" s="1" t="s">
        <v>19</v>
      </c>
      <c r="E7" s="1" t="s">
        <v>71</v>
      </c>
      <c r="F7" s="4">
        <v>5000</v>
      </c>
      <c r="H7" s="1" t="s">
        <v>72</v>
      </c>
      <c r="J7" t="s">
        <v>77</v>
      </c>
    </row>
    <row r="8" spans="1:10">
      <c r="A8" t="s">
        <v>73</v>
      </c>
      <c r="B8" s="1">
        <v>46214</v>
      </c>
      <c r="C8" s="1" t="s">
        <v>74</v>
      </c>
      <c r="D8" s="1" t="s">
        <v>19</v>
      </c>
      <c r="E8" s="1" t="s">
        <v>75</v>
      </c>
      <c r="F8" s="4">
        <v>5000</v>
      </c>
      <c r="H8" s="1" t="s">
        <v>76</v>
      </c>
      <c r="J8" t="s">
        <v>68</v>
      </c>
    </row>
    <row r="9" spans="1:10">
      <c r="A9" t="s">
        <v>79</v>
      </c>
      <c r="B9" s="1">
        <v>46219</v>
      </c>
      <c r="C9" s="1" t="s">
        <v>80</v>
      </c>
      <c r="D9" s="1" t="s">
        <v>19</v>
      </c>
      <c r="E9" s="1" t="s">
        <v>85</v>
      </c>
      <c r="F9" s="4">
        <v>9000</v>
      </c>
      <c r="H9" s="1" t="s">
        <v>81</v>
      </c>
      <c r="J9" t="s">
        <v>82</v>
      </c>
    </row>
    <row r="10" spans="1:10">
      <c r="C10" s="1"/>
      <c r="D10" s="1"/>
      <c r="E10" s="1"/>
      <c r="F10" s="4"/>
    </row>
    <row r="11" spans="1:10">
      <c r="C11" s="1"/>
      <c r="D11" s="1"/>
      <c r="E11" s="1"/>
      <c r="F11" s="4"/>
    </row>
    <row r="12" spans="1:10">
      <c r="C12" s="1"/>
      <c r="D12" s="1"/>
      <c r="E12" s="1"/>
      <c r="F12" s="4"/>
    </row>
    <row r="13" spans="1:10">
      <c r="C13" s="1"/>
      <c r="D13" s="1"/>
      <c r="E13" s="1"/>
      <c r="F13" s="4"/>
    </row>
    <row r="14" spans="1:10">
      <c r="C14" s="1"/>
      <c r="D14" s="1"/>
      <c r="E14" s="1"/>
      <c r="F14" s="4"/>
    </row>
    <row r="15" spans="1:10">
      <c r="C15" s="1"/>
      <c r="D15" s="1"/>
      <c r="E15" s="1"/>
      <c r="F15" s="4"/>
    </row>
    <row r="16" spans="1:10">
      <c r="C16" s="1"/>
      <c r="D16" s="1"/>
      <c r="E16" s="1"/>
      <c r="F16" s="4"/>
    </row>
    <row r="17" spans="1:6">
      <c r="A17" t="s">
        <v>28</v>
      </c>
      <c r="C17" s="1"/>
      <c r="D17" s="1"/>
      <c r="E17" s="1"/>
      <c r="F17" s="4">
        <f>SUM(F2:F16)</f>
        <v>35000</v>
      </c>
    </row>
    <row r="18" spans="1:6">
      <c r="C18" s="1"/>
      <c r="D18" s="1"/>
      <c r="E18" s="1"/>
    </row>
    <row r="19" spans="1:6">
      <c r="A19" t="s">
        <v>11</v>
      </c>
      <c r="C19" s="1"/>
      <c r="D19" s="1"/>
      <c r="E19" s="1"/>
      <c r="F19" s="4">
        <f>35000-F17</f>
        <v>0</v>
      </c>
    </row>
    <row r="20" spans="1:6">
      <c r="C20" s="1"/>
      <c r="D20" s="1"/>
      <c r="E20" s="1"/>
    </row>
    <row r="21" spans="1:6">
      <c r="C21" s="1"/>
      <c r="D21" s="1"/>
      <c r="E21" s="1"/>
    </row>
    <row r="22" spans="1:6">
      <c r="C22" s="1"/>
      <c r="D22" s="1"/>
      <c r="E22" s="1"/>
    </row>
    <row r="23" spans="1:6">
      <c r="C23" s="1"/>
      <c r="D23" s="1"/>
      <c r="E23" s="1"/>
    </row>
    <row r="24" spans="1:6">
      <c r="C24" s="1"/>
      <c r="D24" s="1"/>
      <c r="E24" s="1"/>
    </row>
    <row r="25" spans="1:6">
      <c r="C25" s="1"/>
      <c r="D25" s="1"/>
      <c r="E25" s="1"/>
    </row>
    <row r="26" spans="1:6">
      <c r="C26" s="1"/>
      <c r="D26" s="1"/>
      <c r="E26" s="1"/>
    </row>
    <row r="27" spans="1:6">
      <c r="C27" s="1"/>
      <c r="D27" s="1"/>
      <c r="E27" s="1"/>
    </row>
    <row r="28" spans="1:6">
      <c r="C28" s="1"/>
      <c r="D28" s="1"/>
      <c r="E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C29" sqref="C29"/>
    </sheetView>
  </sheetViews>
  <sheetFormatPr defaultRowHeight="14.5"/>
  <cols>
    <col min="1" max="1" width="14.453125" bestFit="1" customWidth="1"/>
    <col min="2" max="2" width="10.7265625" bestFit="1" customWidth="1"/>
    <col min="3" max="4" width="10.7265625" customWidth="1"/>
    <col min="5" max="5" width="37" customWidth="1"/>
    <col min="6" max="6" width="10.1796875" style="4" bestFit="1" customWidth="1"/>
    <col min="12" max="12" width="21.7265625" bestFit="1" customWidth="1"/>
    <col min="14" max="14" width="9.81640625" bestFit="1" customWidth="1"/>
    <col min="16" max="17" width="9.81640625" bestFit="1" customWidth="1"/>
    <col min="20" max="20" width="8.81640625" bestFit="1" customWidth="1"/>
    <col min="22" max="22" width="9.81640625" bestFit="1" customWidth="1"/>
  </cols>
  <sheetData>
    <row r="1" spans="1:16" s="2" customFormat="1">
      <c r="A1" s="2" t="s">
        <v>0</v>
      </c>
      <c r="B1" s="2" t="s">
        <v>5</v>
      </c>
      <c r="C1" s="2" t="s">
        <v>14</v>
      </c>
      <c r="D1" s="2" t="s">
        <v>15</v>
      </c>
      <c r="E1" s="2" t="s">
        <v>16</v>
      </c>
      <c r="F1" s="3" t="s">
        <v>1</v>
      </c>
      <c r="H1" s="2" t="s">
        <v>4</v>
      </c>
    </row>
    <row r="2" spans="1:16">
      <c r="A2" t="s">
        <v>36</v>
      </c>
      <c r="B2" s="1">
        <v>46062</v>
      </c>
      <c r="C2" s="1" t="s">
        <v>37</v>
      </c>
      <c r="D2" s="1" t="s">
        <v>19</v>
      </c>
      <c r="E2" s="1" t="s">
        <v>65</v>
      </c>
      <c r="F2" s="5">
        <v>2188</v>
      </c>
      <c r="J2" t="s">
        <v>10</v>
      </c>
      <c r="L2" s="4"/>
    </row>
    <row r="3" spans="1:16">
      <c r="A3" t="s">
        <v>2</v>
      </c>
      <c r="B3" s="1">
        <v>46022</v>
      </c>
      <c r="C3" s="1" t="s">
        <v>17</v>
      </c>
      <c r="D3" s="1" t="s">
        <v>19</v>
      </c>
      <c r="E3" s="1" t="s">
        <v>18</v>
      </c>
      <c r="F3" s="5">
        <v>426</v>
      </c>
      <c r="H3" t="s">
        <v>3</v>
      </c>
      <c r="J3" t="s">
        <v>10</v>
      </c>
    </row>
    <row r="4" spans="1:16">
      <c r="A4" t="s">
        <v>2</v>
      </c>
      <c r="B4" s="1">
        <v>46022</v>
      </c>
      <c r="C4" s="1" t="s">
        <v>17</v>
      </c>
      <c r="D4" s="1" t="s">
        <v>19</v>
      </c>
      <c r="E4" s="1" t="s">
        <v>18</v>
      </c>
      <c r="F4" s="5">
        <v>426</v>
      </c>
      <c r="H4" t="s">
        <v>3</v>
      </c>
      <c r="J4" t="s">
        <v>10</v>
      </c>
    </row>
    <row r="5" spans="1:16">
      <c r="A5" t="s">
        <v>2</v>
      </c>
      <c r="B5" s="1">
        <v>46147</v>
      </c>
      <c r="C5" s="1" t="s">
        <v>17</v>
      </c>
      <c r="D5" s="1" t="s">
        <v>19</v>
      </c>
      <c r="E5" s="1" t="s">
        <v>18</v>
      </c>
      <c r="F5" s="5">
        <v>309.58999999999997</v>
      </c>
      <c r="H5" t="s">
        <v>3</v>
      </c>
      <c r="J5" t="s">
        <v>10</v>
      </c>
    </row>
    <row r="6" spans="1:16">
      <c r="A6" t="s">
        <v>2</v>
      </c>
      <c r="B6" s="1">
        <v>46147</v>
      </c>
      <c r="C6" s="1" t="s">
        <v>17</v>
      </c>
      <c r="D6" s="1" t="s">
        <v>19</v>
      </c>
      <c r="E6" s="1" t="s">
        <v>18</v>
      </c>
      <c r="F6" s="5">
        <v>162.21</v>
      </c>
      <c r="H6" t="s">
        <v>3</v>
      </c>
      <c r="J6" t="s">
        <v>10</v>
      </c>
    </row>
    <row r="7" spans="1:16">
      <c r="A7" t="s">
        <v>2</v>
      </c>
      <c r="B7" s="1">
        <v>46147</v>
      </c>
      <c r="C7" s="1" t="s">
        <v>17</v>
      </c>
      <c r="D7" s="1" t="s">
        <v>19</v>
      </c>
      <c r="E7" s="1" t="s">
        <v>18</v>
      </c>
      <c r="F7" s="5">
        <v>135.97999999999999</v>
      </c>
      <c r="H7" t="s">
        <v>3</v>
      </c>
      <c r="J7" t="s">
        <v>10</v>
      </c>
    </row>
    <row r="8" spans="1:16">
      <c r="A8" t="s">
        <v>2</v>
      </c>
      <c r="B8" s="1">
        <v>46147</v>
      </c>
      <c r="C8" s="1" t="s">
        <v>17</v>
      </c>
      <c r="D8" s="1" t="s">
        <v>19</v>
      </c>
      <c r="E8" s="1" t="s">
        <v>18</v>
      </c>
      <c r="F8" s="5">
        <v>147.97</v>
      </c>
      <c r="H8" t="s">
        <v>3</v>
      </c>
      <c r="J8" t="s">
        <v>10</v>
      </c>
    </row>
    <row r="9" spans="1:16">
      <c r="A9" t="s">
        <v>2</v>
      </c>
      <c r="B9" s="1">
        <v>46147</v>
      </c>
      <c r="C9" s="1" t="s">
        <v>17</v>
      </c>
      <c r="D9" s="1" t="s">
        <v>19</v>
      </c>
      <c r="E9" s="1" t="s">
        <v>18</v>
      </c>
      <c r="F9" s="5">
        <v>506.7</v>
      </c>
      <c r="H9" t="s">
        <v>3</v>
      </c>
      <c r="J9" t="s">
        <v>10</v>
      </c>
    </row>
    <row r="10" spans="1:16">
      <c r="A10" t="s">
        <v>2</v>
      </c>
      <c r="B10" s="1">
        <v>46175</v>
      </c>
      <c r="C10" s="1" t="s">
        <v>17</v>
      </c>
      <c r="D10" s="1" t="s">
        <v>19</v>
      </c>
      <c r="E10" s="1" t="s">
        <v>18</v>
      </c>
      <c r="F10" s="5">
        <v>275</v>
      </c>
      <c r="H10" t="s">
        <v>3</v>
      </c>
      <c r="J10" t="s">
        <v>10</v>
      </c>
    </row>
    <row r="11" spans="1:16">
      <c r="A11" t="s">
        <v>2</v>
      </c>
      <c r="B11" s="1">
        <v>46175</v>
      </c>
      <c r="C11" s="1" t="s">
        <v>17</v>
      </c>
      <c r="D11" s="1" t="s">
        <v>19</v>
      </c>
      <c r="E11" s="1" t="s">
        <v>18</v>
      </c>
      <c r="F11" s="5">
        <v>335.66</v>
      </c>
      <c r="H11" t="s">
        <v>3</v>
      </c>
      <c r="J11" t="s">
        <v>10</v>
      </c>
    </row>
    <row r="12" spans="1:16">
      <c r="A12" t="s">
        <v>2</v>
      </c>
      <c r="B12" s="1">
        <v>46230</v>
      </c>
      <c r="C12" s="1" t="s">
        <v>17</v>
      </c>
      <c r="D12" s="1" t="s">
        <v>19</v>
      </c>
      <c r="E12" s="1" t="s">
        <v>18</v>
      </c>
      <c r="F12" s="5">
        <v>348.83</v>
      </c>
      <c r="H12" t="s">
        <v>3</v>
      </c>
      <c r="J12" t="s">
        <v>10</v>
      </c>
    </row>
    <row r="13" spans="1:16">
      <c r="A13" t="s">
        <v>2</v>
      </c>
      <c r="B13" s="1">
        <v>46230</v>
      </c>
      <c r="C13" s="1" t="s">
        <v>17</v>
      </c>
      <c r="D13" s="1" t="s">
        <v>19</v>
      </c>
      <c r="E13" s="1" t="s">
        <v>18</v>
      </c>
      <c r="F13" s="5">
        <v>45.96</v>
      </c>
      <c r="H13" t="s">
        <v>3</v>
      </c>
      <c r="J13" t="s">
        <v>10</v>
      </c>
      <c r="P13" s="4"/>
    </row>
    <row r="14" spans="1:16">
      <c r="A14" t="s">
        <v>2</v>
      </c>
      <c r="B14" s="1">
        <v>46230</v>
      </c>
      <c r="C14" s="1" t="s">
        <v>17</v>
      </c>
      <c r="D14" s="1" t="s">
        <v>19</v>
      </c>
      <c r="E14" s="1" t="s">
        <v>18</v>
      </c>
      <c r="F14" s="5">
        <v>169.1</v>
      </c>
      <c r="H14" t="s">
        <v>3</v>
      </c>
      <c r="J14" t="s">
        <v>10</v>
      </c>
    </row>
    <row r="15" spans="1:16">
      <c r="A15" t="s">
        <v>2</v>
      </c>
      <c r="B15" s="1">
        <v>46230</v>
      </c>
      <c r="C15" s="1" t="s">
        <v>17</v>
      </c>
      <c r="D15" s="1" t="s">
        <v>19</v>
      </c>
      <c r="E15" s="1" t="s">
        <v>18</v>
      </c>
      <c r="F15" s="5">
        <v>426.14</v>
      </c>
      <c r="H15" t="s">
        <v>3</v>
      </c>
      <c r="J15" t="s">
        <v>10</v>
      </c>
    </row>
    <row r="16" spans="1:16">
      <c r="A16" t="s">
        <v>2</v>
      </c>
      <c r="B16" s="1">
        <v>46253</v>
      </c>
      <c r="C16" s="1" t="s">
        <v>17</v>
      </c>
      <c r="D16" s="1" t="s">
        <v>19</v>
      </c>
      <c r="E16" s="1" t="s">
        <v>18</v>
      </c>
      <c r="F16" s="5">
        <v>1073.1300000000001</v>
      </c>
      <c r="H16" t="s">
        <v>3</v>
      </c>
      <c r="J16" t="s">
        <v>10</v>
      </c>
    </row>
    <row r="17" spans="1:10">
      <c r="A17" t="s">
        <v>2</v>
      </c>
      <c r="B17" s="1">
        <v>46253</v>
      </c>
      <c r="C17" s="1" t="s">
        <v>17</v>
      </c>
      <c r="D17" s="1" t="s">
        <v>19</v>
      </c>
      <c r="E17" s="1" t="s">
        <v>18</v>
      </c>
      <c r="F17" s="5">
        <v>1281.6300000000001</v>
      </c>
      <c r="H17" t="s">
        <v>3</v>
      </c>
      <c r="J17" t="s">
        <v>10</v>
      </c>
    </row>
    <row r="18" spans="1:10">
      <c r="A18" t="s">
        <v>2</v>
      </c>
      <c r="B18" s="1">
        <v>46253</v>
      </c>
      <c r="C18" s="1" t="s">
        <v>17</v>
      </c>
      <c r="D18" s="1" t="s">
        <v>19</v>
      </c>
      <c r="E18" s="1" t="s">
        <v>18</v>
      </c>
      <c r="F18" s="5">
        <v>367.71</v>
      </c>
      <c r="H18" t="s">
        <v>3</v>
      </c>
      <c r="J18" t="s">
        <v>10</v>
      </c>
    </row>
    <row r="19" spans="1:10">
      <c r="A19" t="s">
        <v>2</v>
      </c>
      <c r="B19" s="1">
        <v>46253</v>
      </c>
      <c r="C19" s="1" t="s">
        <v>17</v>
      </c>
      <c r="D19" s="1" t="s">
        <v>19</v>
      </c>
      <c r="E19" s="1" t="s">
        <v>18</v>
      </c>
      <c r="F19" s="5">
        <v>2144.4299999999998</v>
      </c>
      <c r="H19" t="s">
        <v>3</v>
      </c>
      <c r="J19" t="s">
        <v>10</v>
      </c>
    </row>
    <row r="20" spans="1:10">
      <c r="A20" t="s">
        <v>2</v>
      </c>
      <c r="B20" s="1">
        <v>46253</v>
      </c>
      <c r="C20" s="1" t="s">
        <v>17</v>
      </c>
      <c r="D20" s="1" t="s">
        <v>19</v>
      </c>
      <c r="E20" s="1" t="s">
        <v>18</v>
      </c>
      <c r="F20" s="5">
        <v>349.16</v>
      </c>
      <c r="H20" t="s">
        <v>3</v>
      </c>
      <c r="J20" t="s">
        <v>10</v>
      </c>
    </row>
    <row r="21" spans="1:10">
      <c r="A21" t="s">
        <v>2</v>
      </c>
      <c r="B21" s="1">
        <v>46253</v>
      </c>
      <c r="C21" s="1" t="s">
        <v>17</v>
      </c>
      <c r="D21" s="1" t="s">
        <v>19</v>
      </c>
      <c r="E21" s="1" t="s">
        <v>18</v>
      </c>
      <c r="F21" s="5">
        <v>3412.28</v>
      </c>
      <c r="H21" t="s">
        <v>3</v>
      </c>
      <c r="J21" t="s">
        <v>10</v>
      </c>
    </row>
    <row r="22" spans="1:10">
      <c r="A22" t="s">
        <v>2</v>
      </c>
      <c r="B22" s="1">
        <v>46253</v>
      </c>
      <c r="C22" s="1" t="s">
        <v>17</v>
      </c>
      <c r="D22" s="1" t="s">
        <v>19</v>
      </c>
      <c r="E22" s="1" t="s">
        <v>18</v>
      </c>
      <c r="F22" s="5">
        <v>12544.98</v>
      </c>
      <c r="H22" t="s">
        <v>3</v>
      </c>
      <c r="J22" t="s">
        <v>10</v>
      </c>
    </row>
    <row r="23" spans="1:10">
      <c r="A23" t="s">
        <v>2</v>
      </c>
      <c r="B23" s="1">
        <v>46253</v>
      </c>
      <c r="C23" s="1" t="s">
        <v>17</v>
      </c>
      <c r="D23" s="1" t="s">
        <v>19</v>
      </c>
      <c r="E23" s="1" t="s">
        <v>18</v>
      </c>
      <c r="F23" s="5">
        <v>524.01</v>
      </c>
      <c r="H23" t="s">
        <v>3</v>
      </c>
      <c r="J23" t="s">
        <v>10</v>
      </c>
    </row>
    <row r="24" spans="1:10">
      <c r="A24" t="s">
        <v>2</v>
      </c>
      <c r="B24" s="1">
        <v>46254</v>
      </c>
      <c r="C24" s="1" t="s">
        <v>17</v>
      </c>
      <c r="D24" s="1" t="s">
        <v>19</v>
      </c>
      <c r="E24" s="1" t="s">
        <v>18</v>
      </c>
      <c r="F24" s="5">
        <v>622.46</v>
      </c>
      <c r="H24" t="s">
        <v>3</v>
      </c>
      <c r="J24" t="s">
        <v>10</v>
      </c>
    </row>
    <row r="25" spans="1:10">
      <c r="A25" t="s">
        <v>2</v>
      </c>
      <c r="B25" s="1">
        <v>46268</v>
      </c>
      <c r="C25" s="1" t="s">
        <v>17</v>
      </c>
      <c r="D25" s="1" t="s">
        <v>19</v>
      </c>
      <c r="E25" s="1" t="s">
        <v>18</v>
      </c>
      <c r="F25" s="5">
        <v>233.67</v>
      </c>
      <c r="H25" t="s">
        <v>3</v>
      </c>
      <c r="J25" t="s">
        <v>10</v>
      </c>
    </row>
    <row r="26" spans="1:10">
      <c r="A26" t="s">
        <v>86</v>
      </c>
      <c r="B26" s="1">
        <v>46260</v>
      </c>
      <c r="C26" s="1" t="s">
        <v>88</v>
      </c>
      <c r="D26" s="1" t="s">
        <v>19</v>
      </c>
      <c r="E26" s="1" t="s">
        <v>89</v>
      </c>
      <c r="F26" s="4">
        <v>200</v>
      </c>
      <c r="H26" t="s">
        <v>87</v>
      </c>
      <c r="J26" t="s">
        <v>10</v>
      </c>
    </row>
    <row r="27" spans="1:10">
      <c r="A27" t="s">
        <v>2</v>
      </c>
      <c r="B27" s="1">
        <v>46268</v>
      </c>
      <c r="C27" s="1" t="s">
        <v>17</v>
      </c>
      <c r="D27" s="1" t="s">
        <v>19</v>
      </c>
      <c r="E27" s="1" t="s">
        <v>18</v>
      </c>
      <c r="F27" s="5">
        <v>428.67</v>
      </c>
      <c r="H27" t="s">
        <v>3</v>
      </c>
      <c r="J27" t="s">
        <v>10</v>
      </c>
    </row>
    <row r="28" spans="1:10">
      <c r="A28" t="s">
        <v>2</v>
      </c>
      <c r="B28" s="1">
        <v>46273</v>
      </c>
      <c r="C28" s="1" t="s">
        <v>17</v>
      </c>
      <c r="D28" s="1" t="s">
        <v>19</v>
      </c>
      <c r="E28" s="1" t="s">
        <v>18</v>
      </c>
      <c r="F28" s="5">
        <v>65.489999999999995</v>
      </c>
      <c r="H28" t="s">
        <v>3</v>
      </c>
      <c r="J28" t="s">
        <v>10</v>
      </c>
    </row>
    <row r="29" spans="1:10">
      <c r="A29" t="s">
        <v>2</v>
      </c>
      <c r="B29" s="1">
        <v>46281</v>
      </c>
      <c r="C29" s="1" t="s">
        <v>17</v>
      </c>
      <c r="D29" s="1" t="s">
        <v>19</v>
      </c>
      <c r="E29" s="1" t="s">
        <v>18</v>
      </c>
      <c r="F29" s="5">
        <v>827.22</v>
      </c>
      <c r="H29" t="s">
        <v>3</v>
      </c>
      <c r="J29" t="s">
        <v>10</v>
      </c>
    </row>
    <row r="30" spans="1:10">
      <c r="B30" s="1"/>
      <c r="C30" s="1"/>
      <c r="D30" s="1"/>
      <c r="E30" s="1"/>
    </row>
    <row r="31" spans="1:10">
      <c r="B31" s="1"/>
      <c r="C31" s="1"/>
      <c r="D31" s="1"/>
      <c r="E31" s="1"/>
    </row>
    <row r="33" spans="1:6">
      <c r="A33" t="s">
        <v>28</v>
      </c>
      <c r="C33" s="1"/>
      <c r="D33" s="1"/>
      <c r="E33" s="1"/>
      <c r="F33" s="4">
        <f>SUM(F2:F31)</f>
        <v>29977.979999999996</v>
      </c>
    </row>
    <row r="35" spans="1:6">
      <c r="A35" t="s">
        <v>11</v>
      </c>
      <c r="C35" s="1"/>
      <c r="D35" s="1"/>
      <c r="E35" s="1"/>
      <c r="F35" s="4">
        <f>35000-F33</f>
        <v>5022.0200000000041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selection activeCell="J7" sqref="J7"/>
    </sheetView>
  </sheetViews>
  <sheetFormatPr defaultRowHeight="14.5"/>
  <cols>
    <col min="1" max="1" width="30.1796875" bestFit="1" customWidth="1"/>
    <col min="2" max="2" width="10.7265625" bestFit="1" customWidth="1"/>
    <col min="3" max="4" width="10.7265625" customWidth="1"/>
    <col min="5" max="5" width="105.453125" bestFit="1" customWidth="1"/>
    <col min="6" max="6" width="10.1796875" bestFit="1" customWidth="1"/>
    <col min="7" max="7" width="9.1796875" style="4"/>
    <col min="8" max="8" width="13.81640625" bestFit="1" customWidth="1"/>
  </cols>
  <sheetData>
    <row r="1" spans="1:10" s="2" customFormat="1">
      <c r="A1" s="2" t="s">
        <v>8</v>
      </c>
      <c r="B1" s="2" t="s">
        <v>5</v>
      </c>
      <c r="C1" s="2" t="s">
        <v>14</v>
      </c>
      <c r="D1" s="2" t="s">
        <v>15</v>
      </c>
      <c r="E1" s="2" t="s">
        <v>16</v>
      </c>
      <c r="F1" s="3" t="s">
        <v>1</v>
      </c>
      <c r="G1" s="3" t="s">
        <v>13</v>
      </c>
      <c r="H1" s="2" t="s">
        <v>4</v>
      </c>
    </row>
    <row r="2" spans="1:10">
      <c r="A2" t="s">
        <v>21</v>
      </c>
      <c r="B2" s="1">
        <v>46024</v>
      </c>
      <c r="C2" s="1" t="s">
        <v>22</v>
      </c>
      <c r="D2" t="s">
        <v>19</v>
      </c>
      <c r="E2" s="1" t="s">
        <v>48</v>
      </c>
      <c r="F2" s="4">
        <v>25000</v>
      </c>
      <c r="G2"/>
      <c r="H2" t="s">
        <v>23</v>
      </c>
      <c r="J2" t="s">
        <v>49</v>
      </c>
    </row>
    <row r="3" spans="1:10">
      <c r="A3" t="s">
        <v>60</v>
      </c>
      <c r="B3" s="1">
        <v>46126</v>
      </c>
      <c r="C3" s="1" t="s">
        <v>61</v>
      </c>
      <c r="D3" t="s">
        <v>19</v>
      </c>
      <c r="E3" s="1" t="s">
        <v>62</v>
      </c>
      <c r="F3" s="4">
        <v>4495.18</v>
      </c>
      <c r="G3" s="1"/>
      <c r="J3" t="s">
        <v>10</v>
      </c>
    </row>
    <row r="4" spans="1:10">
      <c r="A4" t="s">
        <v>60</v>
      </c>
      <c r="B4" s="1">
        <v>46126</v>
      </c>
      <c r="C4" s="1" t="s">
        <v>61</v>
      </c>
      <c r="D4" t="s">
        <v>19</v>
      </c>
      <c r="E4" s="1" t="s">
        <v>62</v>
      </c>
      <c r="F4" s="4">
        <v>4495.18</v>
      </c>
      <c r="G4" s="1"/>
      <c r="J4" t="s">
        <v>10</v>
      </c>
    </row>
    <row r="5" spans="1:10">
      <c r="A5" t="s">
        <v>32</v>
      </c>
      <c r="B5" s="1"/>
      <c r="C5" t="s">
        <v>34</v>
      </c>
      <c r="E5" s="1" t="s">
        <v>35</v>
      </c>
      <c r="F5" s="4"/>
      <c r="G5"/>
      <c r="H5" t="s">
        <v>33</v>
      </c>
      <c r="J5" t="s">
        <v>10</v>
      </c>
    </row>
    <row r="6" spans="1:10">
      <c r="A6" t="s">
        <v>21</v>
      </c>
      <c r="B6" s="1">
        <v>46220</v>
      </c>
      <c r="C6" s="1" t="s">
        <v>22</v>
      </c>
      <c r="D6" t="s">
        <v>19</v>
      </c>
      <c r="E6" s="1" t="s">
        <v>83</v>
      </c>
      <c r="F6" s="4">
        <v>1009.64</v>
      </c>
      <c r="G6"/>
      <c r="H6" t="s">
        <v>23</v>
      </c>
      <c r="J6" t="s">
        <v>84</v>
      </c>
    </row>
    <row r="7" spans="1:10">
      <c r="B7" s="1"/>
      <c r="C7" s="1"/>
      <c r="E7" s="1"/>
      <c r="F7" s="4"/>
      <c r="G7"/>
    </row>
    <row r="8" spans="1:10">
      <c r="B8" s="1"/>
      <c r="C8" s="1"/>
      <c r="E8" s="1"/>
      <c r="F8" s="4"/>
      <c r="G8"/>
    </row>
    <row r="9" spans="1:10">
      <c r="A9" t="s">
        <v>24</v>
      </c>
      <c r="B9" s="1"/>
      <c r="C9" s="1" t="s">
        <v>25</v>
      </c>
      <c r="D9" s="1" t="s">
        <v>19</v>
      </c>
      <c r="E9" s="1" t="s">
        <v>26</v>
      </c>
      <c r="F9" s="4"/>
      <c r="H9" s="1" t="s">
        <v>27</v>
      </c>
    </row>
    <row r="10" spans="1:10">
      <c r="B10" s="1"/>
      <c r="C10" s="1"/>
      <c r="E10" s="1"/>
      <c r="F10" s="4"/>
      <c r="G10"/>
    </row>
    <row r="11" spans="1:10">
      <c r="B11" s="1"/>
      <c r="D11" s="1"/>
      <c r="E11" s="1"/>
      <c r="F11" s="4"/>
    </row>
    <row r="12" spans="1:10">
      <c r="B12" s="1"/>
      <c r="D12" s="1"/>
      <c r="E12" s="1"/>
      <c r="F12" s="4"/>
    </row>
    <row r="13" spans="1:10">
      <c r="B13" s="1"/>
      <c r="C13" s="1"/>
      <c r="D13" s="1"/>
      <c r="E13" s="1"/>
      <c r="F13" s="4"/>
      <c r="G13"/>
    </row>
    <row r="14" spans="1:10">
      <c r="C14" s="1"/>
      <c r="D14" s="1"/>
      <c r="E14" s="1"/>
      <c r="F14" s="4"/>
    </row>
    <row r="15" spans="1:10">
      <c r="C15" s="1"/>
      <c r="D15" s="1"/>
      <c r="E15" s="1"/>
      <c r="F15" s="4"/>
    </row>
    <row r="16" spans="1:10">
      <c r="C16" s="1"/>
      <c r="D16" s="1"/>
      <c r="E16" s="1"/>
      <c r="F16" s="4"/>
    </row>
    <row r="17" spans="1:7">
      <c r="A17" t="s">
        <v>28</v>
      </c>
      <c r="C17" s="1"/>
      <c r="D17" s="1"/>
      <c r="E17" s="1"/>
      <c r="F17" s="4">
        <f>SUM(F2:F16)</f>
        <v>35000</v>
      </c>
      <c r="G17" s="4">
        <f>SUM(G2:G15)</f>
        <v>0</v>
      </c>
    </row>
    <row r="18" spans="1:7">
      <c r="C18" s="1"/>
      <c r="D18" s="1"/>
      <c r="E18" s="1"/>
    </row>
    <row r="19" spans="1:7">
      <c r="C19" s="1"/>
      <c r="D19" s="1"/>
      <c r="E19" s="1"/>
    </row>
    <row r="20" spans="1:7">
      <c r="A20" t="s">
        <v>11</v>
      </c>
      <c r="C20" s="1"/>
      <c r="D20" s="1"/>
      <c r="E20" s="1"/>
      <c r="F20" s="4">
        <f>35000-F17-G17</f>
        <v>0</v>
      </c>
    </row>
    <row r="21" spans="1:7">
      <c r="C21" s="1"/>
      <c r="D21" s="1"/>
      <c r="E21" s="1"/>
    </row>
    <row r="22" spans="1:7">
      <c r="C22" s="1"/>
      <c r="D22" s="1"/>
      <c r="E22" s="1"/>
    </row>
    <row r="23" spans="1:7">
      <c r="C23" s="1"/>
      <c r="D23" s="1"/>
      <c r="E23" s="1"/>
    </row>
    <row r="24" spans="1:7">
      <c r="C24" s="1"/>
      <c r="D24" s="1"/>
      <c r="E24" s="1"/>
    </row>
    <row r="25" spans="1:7">
      <c r="C25" s="1"/>
      <c r="D25" s="1"/>
      <c r="E25" s="1"/>
    </row>
    <row r="26" spans="1:7">
      <c r="C26" s="1"/>
      <c r="D26" s="1"/>
      <c r="E26" s="1"/>
    </row>
    <row r="27" spans="1:7">
      <c r="C27" s="1"/>
      <c r="D27" s="1"/>
      <c r="E27" s="1"/>
    </row>
    <row r="28" spans="1:7">
      <c r="C28" s="1"/>
      <c r="D28" s="1"/>
      <c r="E28" s="1"/>
    </row>
    <row r="29" spans="1:7">
      <c r="C29" s="1"/>
      <c r="D29" s="1"/>
      <c r="E29" s="1"/>
    </row>
    <row r="30" spans="1:7">
      <c r="C30" s="1"/>
      <c r="E30" s="1"/>
    </row>
    <row r="31" spans="1:7">
      <c r="C31" s="1"/>
      <c r="D31" s="1"/>
      <c r="E31" s="1"/>
    </row>
  </sheetData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J3" sqref="J3"/>
    </sheetView>
  </sheetViews>
  <sheetFormatPr defaultRowHeight="14.5"/>
  <cols>
    <col min="1" max="1" width="5.453125" bestFit="1" customWidth="1"/>
    <col min="2" max="2" width="8.7265625" bestFit="1" customWidth="1"/>
    <col min="3" max="3" width="10.1796875" bestFit="1" customWidth="1"/>
    <col min="4" max="4" width="12.1796875" bestFit="1" customWidth="1"/>
    <col min="5" max="5" width="65" bestFit="1" customWidth="1"/>
    <col min="6" max="6" width="10.1796875" bestFit="1" customWidth="1"/>
    <col min="7" max="7" width="6.54296875" bestFit="1" customWidth="1"/>
    <col min="8" max="8" width="11.7265625" bestFit="1" customWidth="1"/>
  </cols>
  <sheetData>
    <row r="1" spans="1:10">
      <c r="A1" s="2" t="s">
        <v>12</v>
      </c>
      <c r="B1" s="2" t="s">
        <v>5</v>
      </c>
      <c r="C1" s="2" t="s">
        <v>14</v>
      </c>
      <c r="D1" s="2" t="s">
        <v>15</v>
      </c>
      <c r="E1" s="2" t="s">
        <v>16</v>
      </c>
      <c r="F1" s="3" t="s">
        <v>1</v>
      </c>
      <c r="G1" s="3" t="s">
        <v>13</v>
      </c>
      <c r="H1" s="2" t="s">
        <v>4</v>
      </c>
      <c r="I1" s="2"/>
    </row>
    <row r="2" spans="1:10">
      <c r="A2" t="s">
        <v>6</v>
      </c>
      <c r="B2" s="1">
        <v>46023</v>
      </c>
      <c r="C2" t="s">
        <v>47</v>
      </c>
      <c r="D2" t="s">
        <v>19</v>
      </c>
      <c r="E2" t="s">
        <v>20</v>
      </c>
      <c r="F2" s="4">
        <v>50000</v>
      </c>
      <c r="H2" t="s">
        <v>9</v>
      </c>
      <c r="J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selection activeCell="D5" sqref="D5"/>
    </sheetView>
  </sheetViews>
  <sheetFormatPr defaultRowHeight="14.5"/>
  <cols>
    <col min="2" max="2" width="9.453125" bestFit="1" customWidth="1"/>
  </cols>
  <sheetData>
    <row r="1" spans="1:5">
      <c r="A1" s="2"/>
      <c r="B1" s="2" t="s">
        <v>5</v>
      </c>
      <c r="C1" s="2" t="s">
        <v>16</v>
      </c>
      <c r="D1" s="3" t="s">
        <v>1</v>
      </c>
      <c r="E1" s="2"/>
    </row>
    <row r="2" spans="1:5">
      <c r="A2" t="s">
        <v>50</v>
      </c>
      <c r="B2" s="1">
        <v>46030</v>
      </c>
      <c r="C2" t="s">
        <v>51</v>
      </c>
      <c r="D2" s="4">
        <v>61.25</v>
      </c>
    </row>
    <row r="3" spans="1:5">
      <c r="A3" t="s">
        <v>63</v>
      </c>
      <c r="B3" s="1">
        <v>46137</v>
      </c>
      <c r="C3" t="s">
        <v>64</v>
      </c>
      <c r="D3" s="4">
        <v>5.22</v>
      </c>
    </row>
    <row r="4" spans="1:5">
      <c r="D4" s="4"/>
    </row>
    <row r="5" spans="1:5">
      <c r="D5" s="4"/>
    </row>
    <row r="6" spans="1:5">
      <c r="D6" s="4"/>
    </row>
    <row r="7" spans="1:5">
      <c r="D7" s="4"/>
    </row>
    <row r="8" spans="1:5">
      <c r="D8" s="4"/>
    </row>
    <row r="9" spans="1:5">
      <c r="D9" s="4"/>
    </row>
    <row r="10" spans="1:5">
      <c r="D10" s="4"/>
    </row>
    <row r="11" spans="1:5">
      <c r="D11" s="4"/>
    </row>
    <row r="12" spans="1:5">
      <c r="D12" s="4"/>
    </row>
    <row r="13" spans="1:5">
      <c r="D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Vicki</vt:lpstr>
      <vt:lpstr>Dennis</vt:lpstr>
      <vt:lpstr>Cheryl</vt:lpstr>
      <vt:lpstr>Combined</vt:lpstr>
      <vt:lpstr>Expenses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Martin</dc:creator>
  <cp:lastModifiedBy>dennismartin@verizon.net</cp:lastModifiedBy>
  <dcterms:created xsi:type="dcterms:W3CDTF">2022-02-16T18:04:50Z</dcterms:created>
  <dcterms:modified xsi:type="dcterms:W3CDTF">2026-10-06T18:00:21Z</dcterms:modified>
</cp:coreProperties>
</file>